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Calc"/>
  <workbookPr/>
  <bookViews>
    <workbookView xWindow="0" yWindow="0" windowWidth="16384" windowHeight="8192" tabRatio="500" activeTab="2"/>
  </bookViews>
  <sheets>
    <sheet name="~Sheet1" sheetId="1" r:id="rId2"/>
    <sheet name="Sheet1" sheetId="3" r:id="rId3"/>
    <sheet name="#Sheet1" sheetId="4" r:id="rId4"/>
    <sheet name="Sheet2" sheetId="2" r:id="rId5"/>
  </sheets>
  <definedNames/>
  <calcPr calcId="162913"/>
  <extLst/>
</workbook>
</file>

<file path=xl/calcChain.xml><?xml version="1.0" encoding="utf-8"?>
<calcChain xmlns="http://schemas.openxmlformats.org/spreadsheetml/2006/main">
  <c r="B29" i="1" l="1"/>
</calcChain>
</file>

<file path=xl/sharedStrings.xml><?xml version="1.0" encoding="utf-8"?>
<sst xmlns="http://schemas.openxmlformats.org/spreadsheetml/2006/main" count="163" uniqueCount="115">
  <si>
    <t>REFNO</t>
  </si>
  <si>
    <t>Forename</t>
  </si>
  <si>
    <t>Surname</t>
  </si>
  <si>
    <t>ER</t>
  </si>
  <si>
    <t>EE</t>
  </si>
  <si>
    <t>AVC</t>
  </si>
  <si>
    <t>Once Off ER</t>
  </si>
  <si>
    <t>Once Off EE</t>
  </si>
  <si>
    <t>Once Off AVC</t>
  </si>
  <si>
    <t>Prudhoe</t>
  </si>
  <si>
    <t>Verner</t>
  </si>
  <si>
    <t>Hamer</t>
  </si>
  <si>
    <t>Tichborne</t>
  </si>
  <si>
    <t>Udora</t>
  </si>
  <si>
    <t>Margate</t>
  </si>
  <si>
    <t>Details:</t>
  </si>
  <si>
    <t>Scheme Name</t>
  </si>
  <si>
    <t>Scheme Number</t>
  </si>
  <si>
    <t>Payroll Month:</t>
  </si>
  <si>
    <t>Total ER:</t>
  </si>
  <si>
    <t>Total EE:</t>
  </si>
  <si>
    <t>Total AVC:</t>
  </si>
  <si>
    <t>Total Once Off ER</t>
  </si>
  <si>
    <t>Total Once Off EE</t>
  </si>
  <si>
    <t>Total Once off AVC</t>
  </si>
  <si>
    <t>Total</t>
  </si>
  <si>
    <t>Notes:</t>
  </si>
  <si>
    <t>Employer</t>
  </si>
  <si>
    <t>Employee</t>
  </si>
  <si>
    <t>Wildfield Erith Ramsgate</t>
  </si>
  <si>
    <t>Once Off - ER</t>
  </si>
  <si>
    <t>Smiths lakeview Rathowen Brading Sheriff Employer</t>
  </si>
  <si>
    <t>Once Off - EE</t>
  </si>
  <si>
    <t>Burtch launceston Ballymoney Oldham Bedford Employee</t>
  </si>
  <si>
    <t>Once Off - AVC</t>
  </si>
  <si>
    <t>Churchill rathcarran Foynes Wath Pitsea City Carterton Leap</t>
  </si>
  <si>
    <t>Investment Date</t>
  </si>
  <si>
    <t>Downham bungay douglas enfield florence flitwick crowthorne stocksbridge dromahane daventry emsworth pension empire balbriggan blackridge budleigh haileybury stratford</t>
  </si>
  <si>
    <t>Overpayments/Underpayment</t>
  </si>
  <si>
    <t xml:space="preserve">Ballickmoyler askeaton vars arnstein glenhest llangors pinewood ballylooby convoy aundeck denfield nuneaton pontypool pitcoudie spink m limehouse allen chapelizod battle Salia@round.shanballymore donnycarney fort bohola marlborough peacehaven swanscombe.  </t>
  </si>
  <si>
    <t xml:space="preserve">Carrickmacross masham cloonacool wigston streamstown woodhaven selsey ameliasburg langport Falconbridge whiston Ballindaggin mcarthurs caister maldon. </t>
  </si>
  <si>
    <t>Prestwick bridlington pettigo malton roscrea kettering.  M ballina nellie stockport blennerville rochdale lonsdale kilmessan</t>
  </si>
  <si>
    <t>New Entrants</t>
  </si>
  <si>
    <t>Maam clonbur castletownbere saint woking vernonville nogies milltown ballinrobe leominster</t>
  </si>
  <si>
    <t>Queries</t>
  </si>
  <si>
    <t>Eabametoong@madsen.waterloo</t>
  </si>
  <si>
    <t>ISSUES FOUND</t>
  </si>
  <si>
    <t>FORENAME</t>
  </si>
  <si>
    <t>SURNAME</t>
  </si>
  <si>
    <t>Refno 0693267 does not exist for Scheme ID 601010
Member does not have open Paypoints</t>
  </si>
  <si>
    <t>693267</t>
  </si>
  <si>
    <t>Refno 0780087 does not exist for Scheme ID 601010
Member does not have open Paypoints</t>
  </si>
  <si>
    <t>780087</t>
  </si>
  <si>
    <t>Refno 0780094 does not exist for Scheme ID 601010
Member does not have open Paypoints</t>
  </si>
  <si>
    <t>780094</t>
  </si>
  <si>
    <t>NEG_ROWS</t>
  </si>
  <si>
    <t>False</t>
  </si>
  <si>
    <t>TOTAL</t>
  </si>
  <si>
    <t>945.74</t>
  </si>
  <si>
    <t>Payment Frequency</t>
  </si>
  <si>
    <t>Invoice Number</t>
  </si>
  <si>
    <t>Paypoint</t>
  </si>
  <si>
    <t>Collection Method</t>
  </si>
  <si>
    <t>Date Received</t>
  </si>
  <si>
    <t>Override Date</t>
  </si>
  <si>
    <t>Amount Received</t>
  </si>
  <si>
    <t>MIRO Date</t>
  </si>
  <si>
    <t>Comment</t>
  </si>
  <si>
    <t>Monthly</t>
  </si>
  <si>
    <t>1178489</t>
  </si>
  <si>
    <t>101001</t>
  </si>
  <si>
    <t>Cash</t>
  </si>
  <si>
    <t>18/08/2021</t>
  </si>
  <si>
    <t>7,517.33</t>
  </si>
  <si>
    <t>01/08/2021</t>
  </si>
  <si>
    <t>ILIM August 2021</t>
  </si>
  <si>
    <t>1173971</t>
  </si>
  <si>
    <t>16/07/2021</t>
  </si>
  <si>
    <t>1,533.32</t>
  </si>
  <si>
    <t>01/06/2021</t>
  </si>
  <si>
    <t>ILIM Julne 2021</t>
  </si>
  <si>
    <t>1173522</t>
  </si>
  <si>
    <t>5,984.01</t>
  </si>
  <si>
    <t>ILIM June 2021</t>
  </si>
  <si>
    <t>Annually</t>
  </si>
  <si>
    <t>1149840</t>
  </si>
  <si>
    <t>101002</t>
  </si>
  <si>
    <t>25/02/2021</t>
  </si>
  <si>
    <t/>
  </si>
  <si>
    <t>19,177.74</t>
  </si>
  <si>
    <t>Revised Risk (Total/12*4)</t>
  </si>
  <si>
    <t>1122062</t>
  </si>
  <si>
    <t>01/07/2020</t>
  </si>
  <si>
    <t>19,974.02</t>
  </si>
  <si>
    <t>2020Risk</t>
  </si>
  <si>
    <t>1067417</t>
  </si>
  <si>
    <t>01/07/2019</t>
  </si>
  <si>
    <t>15,889.15</t>
  </si>
  <si>
    <t>2019 Costs</t>
  </si>
  <si>
    <t>35300</t>
  </si>
  <si>
    <t>101000</t>
  </si>
  <si>
    <t>30/05/2000</t>
  </si>
  <si>
    <t>06/04/2000</t>
  </si>
  <si>
    <t>1,250.13</t>
  </si>
  <si>
    <t>01/05/2000</t>
  </si>
  <si>
    <t>May 00</t>
  </si>
  <si>
    <t>35036</t>
  </si>
  <si>
    <t>24/05/2000</t>
  </si>
  <si>
    <t>03/05/2000</t>
  </si>
  <si>
    <t>01/04/2000</t>
  </si>
  <si>
    <t>Apr '00 intd</t>
  </si>
  <si>
    <t>29038</t>
  </si>
  <si>
    <t>15/03/2000</t>
  </si>
  <si>
    <t>01/03/2000</t>
  </si>
  <si>
    <t>Mar 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</si>
</sst>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MM/YY"/>
  </numFmts>
  <fonts count="13">
    <font>
      <sz val="11"/>
      <color rgb="FF000000"/>
      <name val="Calibri"/>
      <family val="2"/>
      <charset val="1"/>
    </font>
    <font>
      <sz val="10"/>
      <color theme="1"/>
      <name val="Arial"/>
      <family val="2"/>
    </font>
    <font>
      <sz val="10"/>
      <name val="Arial"/>
      <family val="0"/>
    </font>
    <font>
      <b/>
      <sz val="11"/>
      <color rgb="FF000000"/>
      <name val="Calibri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u val="single"/>
      <sz val="11"/>
      <color rgb="FF0000FF"/>
      <name val="Calibri"/>
      <family val="2"/>
      <charset val="1"/>
    </font>
    <font>
      <u val="single"/>
      <sz val="10"/>
      <color rgb="FF0000FF"/>
      <name val="Arial"/>
      <family val="2"/>
      <charset val="1"/>
    </font>
    <font>
      <b/>
      <u val="single"/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1">
    <xf numFmtId="164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2" fillId="0" borderId="0" applyBorder="0" applyAlignment="0" applyProtection="0"/>
    <xf numFmtId="44" fontId="2" fillId="0" borderId="0" applyBorder="0" applyAlignment="0" applyProtection="0"/>
    <xf numFmtId="42" fontId="2" fillId="0" borderId="0" applyBorder="0" applyAlignment="0" applyProtection="0"/>
    <xf numFmtId="43" fontId="2" fillId="0" borderId="0" applyBorder="0" applyAlignment="0" applyProtection="0"/>
    <xf numFmtId="41" fontId="2" fillId="0" borderId="0" applyBorder="0" applyAlignment="0" applyProtection="0"/>
    <xf numFmtId="164" fontId="6" fillId="0" borderId="0" applyBorder="0" applyProtection="0">
      <alignment/>
    </xf>
  </cellStyleXfs>
  <cellXfs count="34">
    <xf numFmtId="164" fontId="0" fillId="0" borderId="0" xfId="0" applyAlignment="1" applyProtection="1">
      <alignment/>
      <protection/>
    </xf>
    <xf numFmtId="164" fontId="0" fillId="0" borderId="0" xfId="0" applyAlignment="1" applyProtection="1">
      <alignment horizontal="center"/>
      <protection/>
    </xf>
    <xf numFmtId="164" fontId="3" fillId="2" borderId="1" xfId="0" applyFont="1" applyBorder="1" applyAlignment="1" applyProtection="1">
      <alignment horizontal="left"/>
      <protection/>
    </xf>
    <xf numFmtId="164" fontId="3" fillId="2" borderId="1" xfId="0" applyFont="1" applyBorder="1" applyAlignment="1" applyProtection="1">
      <alignment/>
      <protection/>
    </xf>
    <xf numFmtId="164" fontId="3" fillId="2" borderId="1" xfId="0" applyFont="1" applyBorder="1" applyAlignment="1" applyProtection="1">
      <alignment horizontal="center"/>
      <protection/>
    </xf>
    <xf numFmtId="164" fontId="3" fillId="0" borderId="0" xfId="0" applyFont="1" applyAlignment="1" applyProtection="1">
      <alignment/>
      <protection/>
    </xf>
    <xf numFmtId="164" fontId="3" fillId="0" borderId="1" xfId="0" applyFont="1" applyBorder="1" applyAlignment="1" applyProtection="1">
      <alignment horizontal="left"/>
      <protection/>
    </xf>
    <xf numFmtId="164" fontId="3" fillId="0" borderId="1" xfId="0" applyFont="1" applyBorder="1" applyAlignment="1" applyProtection="1">
      <alignment/>
      <protection/>
    </xf>
    <xf numFmtId="165" fontId="0" fillId="3" borderId="1" xfId="0" applyFont="1" applyBorder="1" applyAlignment="1" applyProtection="1">
      <alignment horizontal="center"/>
      <protection/>
    </xf>
    <xf numFmtId="164" fontId="3" fillId="3" borderId="1" xfId="0" applyFont="1" applyBorder="1" applyAlignment="1" applyProtection="1">
      <alignment/>
      <protection/>
    </xf>
    <xf numFmtId="165" fontId="3" fillId="3" borderId="1" xfId="0" applyFont="1" applyBorder="1" applyAlignment="1" applyProtection="1">
      <alignment horizontal="center"/>
      <protection/>
    </xf>
    <xf numFmtId="164" fontId="0" fillId="0" borderId="1" xfId="0" applyBorder="1" applyAlignment="1" applyProtection="1">
      <alignment/>
      <protection/>
    </xf>
    <xf numFmtId="164" fontId="0" fillId="3" borderId="1" xfId="0" applyFont="1" applyBorder="1" applyAlignment="1" applyProtection="1">
      <alignment/>
      <protection/>
    </xf>
    <xf numFmtId="164" fontId="0" fillId="0" borderId="0" xfId="0" applyFont="1" applyAlignment="1" applyProtection="1">
      <alignment/>
      <protection/>
    </xf>
    <xf numFmtId="164" fontId="0" fillId="0" borderId="0" xfId="0" applyFont="1" applyBorder="1" applyAlignment="1" applyProtection="1">
      <alignment horizontal="left"/>
      <protection/>
    </xf>
    <xf numFmtId="164" fontId="0" fillId="0" borderId="0" xfId="0" applyFont="1" applyBorder="1" applyAlignment="1" applyProtection="1">
      <alignment/>
      <protection/>
    </xf>
    <xf numFmtId="165" fontId="3" fillId="0" borderId="0" xfId="0" applyFont="1" applyBorder="1" applyAlignment="1" applyProtection="1">
      <alignment horizontal="center"/>
      <protection/>
    </xf>
    <xf numFmtId="164" fontId="4" fillId="0" borderId="0" xfId="0" applyFont="1" applyBorder="1" applyAlignment="1" applyProtection="1">
      <alignment/>
      <protection/>
    </xf>
    <xf numFmtId="164" fontId="0" fillId="0" borderId="0" xfId="0" applyBorder="1" applyAlignment="1" applyProtection="1">
      <alignment horizontal="center"/>
      <protection/>
    </xf>
    <xf numFmtId="164" fontId="0" fillId="0" borderId="0" xfId="0" applyBorder="1" applyAlignment="1" applyProtection="1">
      <alignment/>
      <protection/>
    </xf>
    <xf numFmtId="164" fontId="5" fillId="0" borderId="0" xfId="0" applyFont="1" applyBorder="1" applyAlignment="1" applyProtection="1">
      <alignment horizontal="right"/>
      <protection/>
    </xf>
    <xf numFmtId="164" fontId="5" fillId="0" borderId="0" xfId="0" applyFont="1" applyBorder="1" applyAlignment="1" applyProtection="1">
      <alignment/>
      <protection/>
    </xf>
    <xf numFmtId="166" fontId="5" fillId="4" borderId="0" xfId="0" applyFont="1" applyBorder="1" applyAlignment="1" applyProtection="1">
      <alignment horizontal="right"/>
      <protection/>
    </xf>
    <xf numFmtId="165" fontId="5" fillId="0" borderId="0" xfId="0" applyFont="1" applyBorder="1" applyAlignment="1" applyProtection="1">
      <alignment/>
      <protection/>
    </xf>
    <xf numFmtId="165" fontId="4" fillId="0" borderId="0" xfId="0" applyFont="1" applyBorder="1" applyAlignment="1" applyProtection="1">
      <alignment/>
      <protection/>
    </xf>
    <xf numFmtId="164" fontId="7" fillId="0" borderId="0" xfId="20" applyFont="1" applyBorder="1" applyAlignment="1" applyProtection="1">
      <alignment/>
      <protection/>
    </xf>
    <xf numFmtId="164" fontId="8" fillId="0" borderId="0" xfId="0" applyFont="1" applyBorder="1" applyAlignment="1" applyProtection="1">
      <alignment/>
      <protection/>
    </xf>
    <xf numFmtId="164" fontId="6" fillId="0" borderId="0" xfId="20" applyFont="1" applyBorder="1" applyAlignment="1" applyProtection="1">
      <alignment horizontal="left"/>
      <protection/>
    </xf>
    <xf numFmtId="0" fontId="12" fillId="0" borderId="0" xfId="0"/>
    <xf numFmtId="0" fontId="9" fillId="0" borderId="1" xfId="0" applyFont="1" applyBorder="1" applyAlignment="1">
      <alignment horizontal="center" vertical="top" wrapText="1"/>
    </xf>
    <xf numFmtId="0" fontId="11" fillId="0" borderId="1" xfId="0" applyAlignment="1">
      <alignment horizontal="center" vertical="top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9" fillId="0" borderId="0" xfId="0" applyFont="1"/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*unknown*" xfId="20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Code@irishlife.ie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FFFF"/>
  </sheetPr>
  <dimension ref="A1:N43"/>
  <sheetViews>
    <sheetView workbookViewId="0" topLeftCell="A1">
      <selection pane="topLeft" activeCell="D21" sqref="A1:XFD1048576"/>
    </sheetView>
  </sheetViews>
  <sheetFormatPr defaultRowHeight="15"/>
  <cols>
    <col min="1" max="1" width="28.75" customWidth="1"/>
    <col min="2" max="2" width="24.25" style="1" customWidth="1"/>
    <col min="3" max="3" width="15.75" style="1" customWidth="1"/>
    <col min="4" max="6" width="10.5" style="1" customWidth="1"/>
    <col min="7" max="7" width="11.5"/>
    <col min="8" max="8" width="11.25" customWidth="1"/>
    <col min="9" max="9" width="13.25" customWidth="1"/>
    <col min="10" max="1025" width="8.5" customWidth="1"/>
  </cols>
  <sheetData>
    <row r="1" spans="1:9" s="5" customFormat="1" ht="14.4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</row>
    <row r="2" spans="1:9" s="5" customFormat="1" ht="14.4">
      <c r="A2" s="6">
        <v>693267.0</v>
      </c>
      <c r="B2" s="7" t="s">
        <v>9</v>
      </c>
      <c r="C2" s="7" t="s">
        <v>10</v>
      </c>
      <c r="D2" s="8">
        <v>177.66</v>
      </c>
      <c r="E2" s="8"/>
      <c r="F2" s="8"/>
      <c r="G2" s="9"/>
      <c r="H2" s="9"/>
      <c r="I2" s="9"/>
    </row>
    <row r="3" spans="1:9" s="5" customFormat="1" ht="14.4">
      <c r="A3" s="6">
        <v>780087.0</v>
      </c>
      <c r="B3" s="7" t="s">
        <v>11</v>
      </c>
      <c r="C3" s="7" t="s">
        <v>12</v>
      </c>
      <c r="D3" s="8">
        <v>126.41</v>
      </c>
      <c r="E3" s="10"/>
      <c r="F3" s="10"/>
      <c r="G3" s="9"/>
      <c r="H3" s="9"/>
      <c r="I3" s="9"/>
    </row>
    <row r="4" spans="1:9" s="5" customFormat="1" ht="14.4">
      <c r="A4" s="6">
        <v>780094.0</v>
      </c>
      <c r="B4" s="7" t="s">
        <v>13</v>
      </c>
      <c r="C4" s="7" t="s">
        <v>14</v>
      </c>
      <c r="D4" s="8">
        <v>341.67</v>
      </c>
      <c r="E4" s="8">
        <v>300.0</v>
      </c>
      <c r="F4" s="10"/>
      <c r="G4" s="9"/>
      <c r="H4" s="9"/>
      <c r="I4" s="9"/>
    </row>
    <row r="5" spans="1:9" s="5" customFormat="1" ht="14.4">
      <c r="A5" s="6"/>
      <c r="B5" s="7"/>
      <c r="C5" s="7"/>
      <c r="D5" s="10"/>
      <c r="E5" s="10"/>
      <c r="F5" s="10"/>
      <c r="G5" s="9"/>
      <c r="H5" s="9"/>
      <c r="I5" s="9"/>
    </row>
    <row r="6" spans="1:9" s="5" customFormat="1" ht="14.4">
      <c r="A6" s="6"/>
      <c r="B6" s="7"/>
      <c r="C6" s="7"/>
      <c r="D6" s="10"/>
      <c r="E6" s="10"/>
      <c r="F6" s="10"/>
      <c r="G6" s="9"/>
      <c r="H6" s="9"/>
      <c r="I6" s="9"/>
    </row>
    <row r="7" spans="1:9" s="5" customFormat="1" ht="14.4">
      <c r="A7" s="6"/>
      <c r="B7" s="7"/>
      <c r="C7" s="7"/>
      <c r="D7" s="10"/>
      <c r="E7" s="10"/>
      <c r="F7" s="10"/>
      <c r="G7" s="9"/>
      <c r="H7" s="9"/>
      <c r="I7" s="9"/>
    </row>
    <row r="8" spans="1:9" s="5" customFormat="1" ht="14.4">
      <c r="A8" s="6"/>
      <c r="B8" s="7"/>
      <c r="C8" s="7"/>
      <c r="D8" s="10"/>
      <c r="E8" s="10"/>
      <c r="F8" s="10"/>
      <c r="G8" s="9"/>
      <c r="H8" s="9"/>
      <c r="I8" s="9"/>
    </row>
    <row r="9" spans="1:9" s="5" customFormat="1" ht="14.4">
      <c r="A9" s="6"/>
      <c r="B9" s="7"/>
      <c r="C9" s="7"/>
      <c r="D9" s="10"/>
      <c r="E9" s="10"/>
      <c r="F9" s="10"/>
      <c r="G9" s="9"/>
      <c r="H9" s="9"/>
      <c r="I9" s="9"/>
    </row>
    <row r="10" spans="1:9" s="5" customFormat="1" ht="14.4">
      <c r="A10" s="6"/>
      <c r="B10" s="7"/>
      <c r="C10" s="7"/>
      <c r="D10" s="10"/>
      <c r="E10" s="10"/>
      <c r="F10" s="10"/>
      <c r="G10" s="9"/>
      <c r="H10" s="9"/>
      <c r="I10" s="9"/>
    </row>
    <row r="11" spans="1:9" s="5" customFormat="1" ht="14.4">
      <c r="A11" s="6"/>
      <c r="B11" s="7"/>
      <c r="C11" s="7"/>
      <c r="D11" s="10"/>
      <c r="E11" s="10"/>
      <c r="F11" s="10"/>
      <c r="G11" s="9"/>
      <c r="H11" s="9"/>
      <c r="I11" s="9"/>
    </row>
    <row r="12" spans="1:9" s="5" customFormat="1" ht="14.4">
      <c r="A12" s="6"/>
      <c r="B12" s="7"/>
      <c r="C12" s="7"/>
      <c r="D12" s="10"/>
      <c r="E12" s="10"/>
      <c r="F12" s="10"/>
      <c r="G12" s="9"/>
      <c r="H12" s="9"/>
      <c r="I12" s="9"/>
    </row>
    <row r="13" spans="1:9" s="5" customFormat="1" ht="14.4">
      <c r="A13" s="6"/>
      <c r="B13" s="7"/>
      <c r="C13" s="7"/>
      <c r="D13" s="10"/>
      <c r="E13" s="10"/>
      <c r="F13" s="10"/>
      <c r="G13" s="9"/>
      <c r="H13" s="9"/>
      <c r="I13" s="9"/>
    </row>
    <row r="14" spans="1:9" s="5" customFormat="1" ht="14.4">
      <c r="A14" s="6"/>
      <c r="B14" s="7"/>
      <c r="C14" s="7"/>
      <c r="D14" s="10"/>
      <c r="E14" s="10"/>
      <c r="F14" s="10"/>
      <c r="G14" s="9"/>
      <c r="H14" s="9"/>
      <c r="I14" s="9"/>
    </row>
    <row r="15" spans="1:9" s="13" customFormat="1" ht="14.4">
      <c r="A15" s="11"/>
      <c r="B15" s="11"/>
      <c r="C15" s="11"/>
      <c r="D15" s="10"/>
      <c r="E15" s="10"/>
      <c r="F15" s="10"/>
      <c r="G15" s="12"/>
      <c r="H15" s="12"/>
      <c r="I15" s="12"/>
    </row>
    <row r="16" spans="1:9" s="13" customFormat="1" ht="14.4">
      <c r="A16" s="11"/>
      <c r="B16" s="11"/>
      <c r="C16" s="11"/>
      <c r="D16" s="10"/>
      <c r="E16" s="10"/>
      <c r="F16" s="10"/>
      <c r="G16" s="12"/>
      <c r="H16" s="12"/>
      <c r="I16" s="12"/>
    </row>
    <row r="17" spans="1:6" s="13" customFormat="1" ht="14.4">
      <c r="A17" s="14"/>
      <c r="C17" s="15"/>
      <c r="D17" s="16"/>
      <c r="E17" s="16"/>
      <c r="F17" s="16"/>
    </row>
    <row r="18" spans="1:14" ht="14.4">
      <c r="A18" s="17" t="s">
        <v>15</v>
      </c>
      <c r="B18" s="18"/>
      <c r="C18" s="18"/>
      <c r="D18" s="18"/>
      <c r="E18" s="18"/>
      <c r="F18" s="18"/>
      <c r="G18" s="19"/>
      <c r="H18" s="19"/>
      <c r="I18" s="19"/>
      <c r="J18" s="19"/>
      <c r="K18" s="19"/>
      <c r="L18" s="19"/>
      <c r="M18" s="19"/>
      <c r="N18" s="19"/>
    </row>
    <row r="19" spans="1:14" ht="14.4">
      <c r="A19" s="17" t="s">
        <v>16</v>
      </c>
      <c r="B19" s="20"/>
      <c r="C19" s="21"/>
      <c r="D19" s="21"/>
      <c r="E19" s="21"/>
      <c r="F19" s="21"/>
      <c r="G19" s="19"/>
      <c r="H19" s="19"/>
      <c r="I19" s="19"/>
      <c r="J19" s="19"/>
      <c r="K19" s="19"/>
      <c r="L19" s="19"/>
      <c r="M19" s="19"/>
      <c r="N19" s="19"/>
    </row>
    <row r="20" spans="1:14" ht="14.4">
      <c r="A20" s="17" t="s">
        <v>17</v>
      </c>
      <c r="B20" s="20">
        <v>608407.0</v>
      </c>
      <c r="C20" s="21"/>
      <c r="D20" s="21"/>
      <c r="E20" s="21"/>
      <c r="F20" s="21"/>
      <c r="G20" s="19"/>
      <c r="H20" s="19"/>
      <c r="I20" s="19"/>
      <c r="J20" s="19"/>
      <c r="K20" s="19"/>
      <c r="L20" s="19"/>
      <c r="M20" s="19"/>
      <c r="N20" s="19"/>
    </row>
    <row r="21" spans="1:14" ht="14.4">
      <c r="A21" s="17" t="s">
        <v>18</v>
      </c>
      <c r="B21" s="22"/>
      <c r="C21" s="21"/>
      <c r="D21" s="21"/>
      <c r="E21" s="21"/>
      <c r="F21" s="21"/>
      <c r="G21" s="19"/>
      <c r="H21" s="19"/>
      <c r="I21" s="19"/>
      <c r="J21" s="19"/>
      <c r="K21" s="19"/>
      <c r="L21" s="19"/>
      <c r="M21" s="19"/>
      <c r="N21" s="19"/>
    </row>
    <row r="22" spans="1:14" ht="14.4">
      <c r="A22" s="17"/>
      <c r="B22" s="21"/>
      <c r="C22" s="21"/>
      <c r="D22" s="21"/>
      <c r="E22" s="21"/>
      <c r="F22" s="21"/>
      <c r="G22" s="19"/>
      <c r="H22" s="19"/>
      <c r="I22" s="19"/>
      <c r="J22" s="19"/>
      <c r="K22" s="19"/>
      <c r="L22" s="19"/>
      <c r="M22" s="19"/>
      <c r="N22" s="19"/>
    </row>
    <row r="23" spans="1:14" ht="14.4">
      <c r="A23" s="17" t="s">
        <v>19</v>
      </c>
      <c r="B23" s="23">
        <f>SUM(D2:D16)</f>
        <v>645.74</v>
      </c>
      <c r="C23" s="21"/>
      <c r="D23" s="21"/>
      <c r="E23" s="21"/>
      <c r="F23" s="21"/>
      <c r="G23" s="19"/>
      <c r="H23" s="19"/>
      <c r="I23" s="19"/>
      <c r="J23" s="19"/>
      <c r="K23" s="19"/>
      <c r="L23" s="19"/>
      <c r="M23" s="19"/>
      <c r="N23" s="19"/>
    </row>
    <row r="24" spans="1:14" ht="14.4">
      <c r="A24" s="17" t="s">
        <v>20</v>
      </c>
      <c r="B24" s="23">
        <f>SUM(E2:E16)</f>
        <v>300.0</v>
      </c>
      <c r="C24" s="21"/>
      <c r="D24" s="21"/>
      <c r="E24" s="21"/>
      <c r="F24" s="21"/>
      <c r="G24" s="19"/>
      <c r="H24" s="19"/>
      <c r="I24" s="19"/>
      <c r="J24" s="19"/>
      <c r="K24" s="19"/>
      <c r="L24" s="19"/>
      <c r="M24" s="19"/>
      <c r="N24" s="19"/>
    </row>
    <row r="25" spans="1:14" ht="14.4">
      <c r="A25" s="17" t="s">
        <v>21</v>
      </c>
      <c r="B25" s="23">
        <f>SUM(F2:F16)</f>
        <v>0.0</v>
      </c>
      <c r="C25" s="21"/>
      <c r="D25" s="21"/>
      <c r="E25" s="21"/>
      <c r="F25" s="21"/>
      <c r="G25" s="19"/>
      <c r="H25" s="19"/>
      <c r="I25" s="19"/>
      <c r="J25" s="19"/>
      <c r="K25" s="19"/>
      <c r="L25" s="19"/>
      <c r="M25" s="19"/>
      <c r="N25" s="19"/>
    </row>
    <row r="26" spans="1:14" ht="14.4">
      <c r="A26" s="17" t="s">
        <v>22</v>
      </c>
      <c r="B26" s="23">
        <f>SUM(G2:G16)</f>
        <v>0.0</v>
      </c>
      <c r="C26" s="21"/>
      <c r="D26" s="21"/>
      <c r="E26" s="21"/>
      <c r="F26" s="21"/>
      <c r="G26" s="19"/>
      <c r="H26" s="19"/>
      <c r="I26" s="19"/>
      <c r="J26" s="19"/>
      <c r="K26" s="19"/>
      <c r="L26" s="19"/>
      <c r="M26" s="19"/>
      <c r="N26" s="19"/>
    </row>
    <row r="27" spans="1:14" ht="14.4">
      <c r="A27" s="17" t="s">
        <v>23</v>
      </c>
      <c r="B27" s="23">
        <f>SUM(H2:H16)</f>
        <v>0.0</v>
      </c>
      <c r="C27" s="21"/>
      <c r="D27" s="21"/>
      <c r="E27" s="21"/>
      <c r="F27" s="21"/>
      <c r="G27" s="19"/>
      <c r="H27" s="19"/>
      <c r="I27" s="19"/>
      <c r="J27" s="19"/>
      <c r="K27" s="19"/>
      <c r="L27" s="19"/>
      <c r="M27" s="19"/>
      <c r="N27" s="19"/>
    </row>
    <row r="28" spans="1:14" ht="14.4">
      <c r="A28" s="17" t="s">
        <v>24</v>
      </c>
      <c r="B28" s="23">
        <f>SUM(I2:I16)</f>
        <v>0.0</v>
      </c>
      <c r="C28" s="21"/>
      <c r="D28" s="21"/>
      <c r="E28" s="21"/>
      <c r="F28" s="21"/>
      <c r="G28" s="19"/>
      <c r="H28" s="19"/>
      <c r="I28" s="19"/>
      <c r="J28" s="19"/>
      <c r="K28" s="19"/>
      <c r="L28" s="19"/>
      <c r="M28" s="19"/>
      <c r="N28" s="19"/>
    </row>
    <row r="29" spans="1:14" ht="14.4">
      <c r="A29" s="17" t="s">
        <v>25</v>
      </c>
      <c r="B29" s="24">
        <f>SUM(B23:B28)</f>
        <v>945.74</v>
      </c>
      <c r="C29" s="21"/>
      <c r="D29" s="21"/>
      <c r="E29" s="21"/>
      <c r="F29" s="21"/>
      <c r="G29" s="19"/>
      <c r="H29" s="19"/>
      <c r="I29" s="19"/>
      <c r="J29" s="19"/>
      <c r="K29" s="19"/>
      <c r="L29" s="19"/>
      <c r="M29" s="19"/>
      <c r="N29" s="19"/>
    </row>
    <row r="30" spans="1:14" ht="14.4">
      <c r="A30" s="17"/>
      <c r="B30" s="25"/>
      <c r="C30" s="21"/>
      <c r="D30" s="21"/>
      <c r="E30" s="21"/>
      <c r="F30" s="21"/>
      <c r="G30" s="19"/>
      <c r="H30" s="19"/>
      <c r="I30" s="19"/>
      <c r="J30" s="19"/>
      <c r="K30" s="19"/>
      <c r="L30" s="19"/>
      <c r="M30" s="19"/>
      <c r="N30" s="19"/>
    </row>
    <row r="31" spans="1:14" ht="14.4">
      <c r="A31" s="26" t="s">
        <v>26</v>
      </c>
      <c r="B31" s="18"/>
      <c r="C31" s="18"/>
      <c r="D31" s="18"/>
      <c r="E31" s="18"/>
      <c r="F31" s="18"/>
      <c r="G31" s="19"/>
      <c r="H31" s="19"/>
      <c r="I31" s="19"/>
      <c r="J31" s="19"/>
      <c r="K31" s="19"/>
      <c r="L31" s="19"/>
      <c r="M31" s="19"/>
      <c r="N31" s="19"/>
    </row>
    <row r="32" spans="1:14" ht="14.4">
      <c r="A32" s="19" t="s">
        <v>3</v>
      </c>
      <c r="B32" s="14" t="s">
        <v>27</v>
      </c>
      <c r="C32" s="18"/>
      <c r="D32" s="18"/>
      <c r="E32" s="18"/>
      <c r="F32" s="18"/>
      <c r="G32" s="19"/>
      <c r="H32" s="19"/>
      <c r="I32" s="19"/>
      <c r="J32" s="19"/>
      <c r="K32" s="19"/>
      <c r="L32" s="19"/>
      <c r="M32" s="19"/>
      <c r="N32" s="19"/>
    </row>
    <row r="33" spans="1:14" ht="14.4">
      <c r="A33" s="19" t="s">
        <v>4</v>
      </c>
      <c r="B33" s="14" t="s">
        <v>28</v>
      </c>
      <c r="C33" s="18"/>
      <c r="D33" s="18"/>
      <c r="E33" s="18"/>
      <c r="F33" s="18"/>
      <c r="G33" s="19"/>
      <c r="H33" s="19"/>
      <c r="I33" s="19"/>
      <c r="J33" s="19"/>
      <c r="K33" s="19"/>
      <c r="L33" s="19"/>
      <c r="M33" s="19"/>
      <c r="N33" s="19"/>
    </row>
    <row r="34" spans="1:14" ht="14.4">
      <c r="A34" s="19" t="s">
        <v>5</v>
      </c>
      <c r="B34" s="14" t="s">
        <v>29</v>
      </c>
      <c r="C34" s="18"/>
      <c r="D34" s="18"/>
      <c r="E34" s="18"/>
      <c r="F34" s="18"/>
      <c r="G34" s="19"/>
      <c r="H34" s="19"/>
      <c r="I34" s="19"/>
      <c r="J34" s="19"/>
      <c r="K34" s="19"/>
      <c r="L34" s="19"/>
      <c r="M34" s="19"/>
      <c r="N34" s="19"/>
    </row>
    <row r="35" spans="1:14" ht="14.4">
      <c r="A35" s="19" t="s">
        <v>30</v>
      </c>
      <c r="B35" s="14" t="s">
        <v>31</v>
      </c>
      <c r="C35" s="18"/>
      <c r="D35" s="18"/>
      <c r="E35" s="18"/>
      <c r="F35" s="18"/>
      <c r="G35" s="19"/>
      <c r="H35" s="19"/>
      <c r="I35" s="19"/>
      <c r="J35" s="19"/>
      <c r="K35" s="19"/>
      <c r="L35" s="19"/>
      <c r="M35" s="19"/>
      <c r="N35" s="19"/>
    </row>
    <row r="36" spans="1:14" ht="14.4">
      <c r="A36" s="19" t="s">
        <v>32</v>
      </c>
      <c r="B36" s="14" t="s">
        <v>33</v>
      </c>
      <c r="C36" s="18"/>
      <c r="D36" s="18"/>
      <c r="E36" s="18"/>
      <c r="F36" s="18"/>
      <c r="G36" s="19"/>
      <c r="H36" s="19"/>
      <c r="I36" s="19"/>
      <c r="J36" s="19"/>
      <c r="K36" s="19"/>
      <c r="L36" s="19"/>
      <c r="M36" s="19"/>
      <c r="N36" s="19"/>
    </row>
    <row r="37" spans="1:14" ht="14.4">
      <c r="A37" s="19" t="s">
        <v>34</v>
      </c>
      <c r="B37" s="14" t="s">
        <v>35</v>
      </c>
      <c r="C37" s="18"/>
      <c r="D37" s="18"/>
      <c r="E37" s="18"/>
      <c r="F37" s="18"/>
      <c r="G37" s="19"/>
      <c r="H37" s="19"/>
      <c r="I37" s="19"/>
      <c r="J37" s="19"/>
      <c r="K37" s="19"/>
      <c r="L37" s="19"/>
      <c r="M37" s="19"/>
      <c r="N37" s="19"/>
    </row>
    <row r="38" spans="1:14" ht="14.4">
      <c r="A38" s="19" t="s">
        <v>36</v>
      </c>
      <c r="B38" s="14" t="s">
        <v>37</v>
      </c>
      <c r="C38" s="18"/>
      <c r="D38" s="18"/>
      <c r="E38" s="18"/>
      <c r="F38" s="18"/>
      <c r="G38" s="19"/>
      <c r="H38" s="19"/>
      <c r="I38" s="19"/>
      <c r="J38" s="19"/>
      <c r="K38" s="19"/>
      <c r="L38" s="19"/>
      <c r="M38" s="19"/>
      <c r="N38" s="19"/>
    </row>
    <row r="39" spans="1:14" ht="14.4">
      <c r="A39" s="14" t="s">
        <v>38</v>
      </c>
      <c r="B39" s="14" t="s">
        <v>39</v>
      </c>
      <c r="C39" s="18"/>
      <c r="D39" s="18"/>
      <c r="E39" s="18"/>
      <c r="F39" s="18"/>
      <c r="G39" s="19"/>
      <c r="H39" s="19"/>
      <c r="I39" s="19"/>
      <c r="J39" s="19"/>
      <c r="K39" s="19"/>
      <c r="L39" s="19"/>
      <c r="M39" s="19"/>
      <c r="N39" s="19"/>
    </row>
    <row r="40" spans="1:14" ht="14.4">
      <c r="A40" s="19"/>
      <c r="B40" s="14" t="s">
        <v>40</v>
      </c>
      <c r="C40" s="18"/>
      <c r="D40" s="18"/>
      <c r="E40" s="18"/>
      <c r="F40" s="18"/>
      <c r="G40" s="19"/>
      <c r="H40" s="19"/>
      <c r="I40" s="19"/>
      <c r="J40" s="19"/>
      <c r="K40" s="19"/>
      <c r="L40" s="19"/>
      <c r="M40" s="19"/>
      <c r="N40" s="19"/>
    </row>
    <row r="41" spans="1:14" ht="14.4">
      <c r="A41" s="19"/>
      <c r="B41" s="14" t="s">
        <v>41</v>
      </c>
      <c r="C41" s="18"/>
      <c r="D41" s="18"/>
      <c r="E41" s="18"/>
      <c r="F41" s="18"/>
      <c r="G41" s="19"/>
      <c r="H41" s="19"/>
      <c r="I41" s="19"/>
      <c r="J41" s="19"/>
      <c r="K41" s="19"/>
      <c r="L41" s="19"/>
      <c r="M41" s="19"/>
      <c r="N41" s="19"/>
    </row>
    <row r="42" spans="1:14" ht="14.4">
      <c r="A42" s="19" t="s">
        <v>42</v>
      </c>
      <c r="B42" s="14" t="s">
        <v>43</v>
      </c>
      <c r="C42" s="18"/>
      <c r="D42" s="18"/>
      <c r="E42" s="18"/>
      <c r="F42" s="18"/>
      <c r="G42" s="19"/>
      <c r="H42" s="19"/>
      <c r="I42" s="19"/>
      <c r="J42" s="19"/>
      <c r="K42" s="19"/>
      <c r="L42" s="19"/>
      <c r="M42" s="19"/>
      <c r="N42" s="19"/>
    </row>
    <row r="43" spans="1:14" ht="14.4">
      <c r="A43" s="19" t="s">
        <v>44</v>
      </c>
      <c r="B43" s="27" t="s">
        <v>45</v>
      </c>
      <c r="C43" s="18"/>
      <c r="D43" s="18"/>
      <c r="E43" s="18"/>
      <c r="F43" s="18"/>
      <c r="G43" s="19"/>
      <c r="H43" s="19"/>
      <c r="I43" s="19"/>
      <c r="J43" s="19"/>
      <c r="K43" s="19"/>
      <c r="L43" s="19"/>
      <c r="M43" s="19"/>
      <c r="N43" s="19"/>
    </row>
  </sheetData>
  <hyperlinks>
    <hyperlink ref="B43" r:id="rId1" display="Eabametoong@madsen.waterloo"/>
  </hyperlinks>
  <pageMargins left="0.7" right="0.7" top="0.75" bottom="0.75" header="0.511805555555555" footer="0.511805555555555"/>
  <pageSetup horizontalDpi="300" verticalDpi="300"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FF00"/>
  </sheetPr>
  <dimension ref="A1:F4"/>
  <sheetViews>
    <sheetView workbookViewId="0" topLeftCell="A1">
      <selection pane="topLeft" activeCell="A1" sqref="A1"/>
    </sheetView>
  </sheetViews>
  <sheetFormatPr defaultColWidth="9.255" defaultRowHeight="12.75" customHeight="1"/>
  <cols>
    <col min="1" max="1" width="47.25" style="28"/>
    <col min="2" max="16384" width="9.25" style="28"/>
  </cols>
  <sheetData>
    <row r="1" spans="1:6" ht="15">
      <c r="A1" s="29" t="s">
        <v>46</v>
      </c>
      <c r="B1" s="30" t="s">
        <v>0</v>
      </c>
      <c r="C1" s="30" t="s">
        <v>47</v>
      </c>
      <c r="D1" s="30" t="s">
        <v>48</v>
      </c>
      <c r="E1" s="30" t="s">
        <v>3</v>
      </c>
      <c r="F1" s="30" t="s">
        <v>4</v>
      </c>
    </row>
    <row r="2" spans="1:6" ht="30">
      <c r="A2" s="31" t="s">
        <v>49</v>
      </c>
      <c r="B2" s="28" t="s">
        <v>50</v>
      </c>
      <c r="C2" s="28" t="s">
        <v>9</v>
      </c>
      <c r="D2" s="28" t="s">
        <v>10</v>
      </c>
      <c r="E2" s="28">
        <v>177.66</v>
      </c>
      <c r="F2" s="28">
        <v>0.0</v>
      </c>
    </row>
    <row r="3" spans="1:6" ht="30">
      <c r="A3" s="32" t="s">
        <v>51</v>
      </c>
      <c r="B3" s="28" t="s">
        <v>52</v>
      </c>
      <c r="C3" s="28" t="s">
        <v>11</v>
      </c>
      <c r="D3" s="28" t="s">
        <v>12</v>
      </c>
      <c r="E3" s="28">
        <v>126.41</v>
      </c>
      <c r="F3" s="28">
        <v>0.0</v>
      </c>
    </row>
    <row r="4" spans="1:6" ht="30">
      <c r="A4" s="32" t="s">
        <v>53</v>
      </c>
      <c r="B4" s="28" t="s">
        <v>54</v>
      </c>
      <c r="C4" s="28" t="s">
        <v>13</v>
      </c>
      <c r="D4" s="28" t="s">
        <v>14</v>
      </c>
      <c r="E4" s="28">
        <v>341.67</v>
      </c>
      <c r="F4" s="28">
        <v>300.0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21"/>
  <sheetViews>
    <sheetView workbookViewId="0" topLeftCell="A1">
      <selection pane="topLeft" activeCell="A1" sqref="A1"/>
    </sheetView>
  </sheetViews>
  <sheetFormatPr defaultColWidth="9.255" defaultRowHeight="15" customHeight="1"/>
  <cols>
    <col min="1" max="1" width="17.75" style="28"/>
    <col min="2" max="2" width="14.125" style="28"/>
    <col min="3" max="3" width="8.25" style="28"/>
    <col min="4" max="4" width="15.75" style="28"/>
    <col min="5" max="5" width="13.25" style="28"/>
    <col min="6" max="6" width="12.625" style="28"/>
    <col min="7" max="7" width="15.75" style="28"/>
    <col min="8" max="8" width="10.5" style="28"/>
    <col min="9" max="9" width="22.125" style="28"/>
    <col min="10" max="16384" width="9.25" style="28"/>
  </cols>
  <sheetData>
    <row r="1" spans="1:2" ht="15">
      <c r="A1" s="28" t="s">
        <v>3</v>
      </c>
      <c r="B1" s="28" t="s">
        <v>4</v>
      </c>
    </row>
    <row r="2" spans="1:2" ht="15">
      <c r="A2" s="28">
        <v>645.74</v>
      </c>
      <c r="B2" s="28">
        <v>300.0</v>
      </c>
    </row>
    <row r="4" spans="1:1" ht="15">
      <c r="A4" s="28" t="s">
        <v>55</v>
      </c>
    </row>
    <row r="5" spans="1:1" ht="15">
      <c r="A5" s="28" t="s">
        <v>56</v>
      </c>
    </row>
    <row r="8" spans="1:1" ht="15">
      <c r="A8" s="28" t="s">
        <v>57</v>
      </c>
    </row>
    <row r="9" spans="1:1" ht="15">
      <c r="A9" s="28" t="s">
        <v>58</v>
      </c>
    </row>
    <row r="12" spans="1:9" ht="15">
      <c r="A12" s="33" t="s">
        <v>59</v>
      </c>
      <c r="B12" s="33" t="s">
        <v>60</v>
      </c>
      <c r="C12" s="33" t="s">
        <v>61</v>
      </c>
      <c r="D12" s="33" t="s">
        <v>62</v>
      </c>
      <c r="E12" s="33" t="s">
        <v>63</v>
      </c>
      <c r="F12" s="33" t="s">
        <v>64</v>
      </c>
      <c r="G12" s="33" t="s">
        <v>65</v>
      </c>
      <c r="H12" s="33" t="s">
        <v>66</v>
      </c>
      <c r="I12" s="33" t="s">
        <v>67</v>
      </c>
    </row>
    <row r="13" spans="1:9" ht="15">
      <c r="A13" s="28" t="s">
        <v>68</v>
      </c>
      <c r="B13" s="28" t="s">
        <v>69</v>
      </c>
      <c r="C13" s="28" t="s">
        <v>70</v>
      </c>
      <c r="D13" s="28" t="s">
        <v>71</v>
      </c>
      <c r="E13" s="28" t="s">
        <v>72</v>
      </c>
      <c r="F13" s="28" t="s">
        <v>72</v>
      </c>
      <c r="G13" s="28" t="s">
        <v>73</v>
      </c>
      <c r="H13" s="28" t="s">
        <v>74</v>
      </c>
      <c r="I13" s="28" t="s">
        <v>75</v>
      </c>
    </row>
    <row r="14" spans="1:9" ht="15">
      <c r="A14" s="28" t="s">
        <v>68</v>
      </c>
      <c r="B14" s="28" t="s">
        <v>76</v>
      </c>
      <c r="C14" s="28" t="s">
        <v>70</v>
      </c>
      <c r="D14" s="28" t="s">
        <v>71</v>
      </c>
      <c r="E14" s="28" t="s">
        <v>77</v>
      </c>
      <c r="F14" s="28" t="s">
        <v>77</v>
      </c>
      <c r="G14" s="28" t="s">
        <v>78</v>
      </c>
      <c r="H14" s="28" t="s">
        <v>79</v>
      </c>
      <c r="I14" s="28" t="s">
        <v>80</v>
      </c>
    </row>
    <row r="15" spans="1:9" ht="15">
      <c r="A15" s="28" t="s">
        <v>68</v>
      </c>
      <c r="B15" s="28" t="s">
        <v>81</v>
      </c>
      <c r="C15" s="28" t="s">
        <v>70</v>
      </c>
      <c r="D15" s="28" t="s">
        <v>71</v>
      </c>
      <c r="E15" s="28" t="s">
        <v>77</v>
      </c>
      <c r="F15" s="28" t="s">
        <v>77</v>
      </c>
      <c r="G15" s="28" t="s">
        <v>82</v>
      </c>
      <c r="H15" s="28" t="s">
        <v>79</v>
      </c>
      <c r="I15" s="28" t="s">
        <v>83</v>
      </c>
    </row>
    <row r="16" spans="1:9" ht="15">
      <c r="A16" s="28" t="s">
        <v>84</v>
      </c>
      <c r="B16" s="28" t="s">
        <v>85</v>
      </c>
      <c r="C16" s="28" t="s">
        <v>86</v>
      </c>
      <c r="D16" s="28" t="s">
        <v>71</v>
      </c>
      <c r="E16" s="28" t="s">
        <v>87</v>
      </c>
      <c r="F16" s="28" t="s">
        <v>88</v>
      </c>
      <c r="G16" s="28" t="s">
        <v>89</v>
      </c>
      <c r="H16" s="28" t="s">
        <v>88</v>
      </c>
      <c r="I16" s="28" t="s">
        <v>90</v>
      </c>
    </row>
    <row r="17" spans="1:9" ht="15">
      <c r="A17" s="28" t="s">
        <v>84</v>
      </c>
      <c r="B17" s="28" t="s">
        <v>91</v>
      </c>
      <c r="C17" s="28" t="s">
        <v>86</v>
      </c>
      <c r="D17" s="28" t="s">
        <v>71</v>
      </c>
      <c r="E17" s="28" t="s">
        <v>92</v>
      </c>
      <c r="F17" s="28" t="s">
        <v>88</v>
      </c>
      <c r="G17" s="28" t="s">
        <v>93</v>
      </c>
      <c r="H17" s="28" t="s">
        <v>88</v>
      </c>
      <c r="I17" s="28" t="s">
        <v>94</v>
      </c>
    </row>
    <row r="18" spans="1:9" ht="15">
      <c r="A18" s="28" t="s">
        <v>84</v>
      </c>
      <c r="B18" s="28" t="s">
        <v>95</v>
      </c>
      <c r="C18" s="28" t="s">
        <v>86</v>
      </c>
      <c r="D18" s="28" t="s">
        <v>71</v>
      </c>
      <c r="E18" s="28" t="s">
        <v>96</v>
      </c>
      <c r="F18" s="28" t="s">
        <v>88</v>
      </c>
      <c r="G18" s="28" t="s">
        <v>97</v>
      </c>
      <c r="H18" s="28" t="s">
        <v>88</v>
      </c>
      <c r="I18" s="28" t="s">
        <v>98</v>
      </c>
    </row>
    <row r="19" spans="1:9" ht="15">
      <c r="A19" s="28" t="s">
        <v>68</v>
      </c>
      <c r="B19" s="28" t="s">
        <v>99</v>
      </c>
      <c r="C19" s="28" t="s">
        <v>100</v>
      </c>
      <c r="D19" s="28" t="s">
        <v>71</v>
      </c>
      <c r="E19" s="28" t="s">
        <v>101</v>
      </c>
      <c r="F19" s="28" t="s">
        <v>102</v>
      </c>
      <c r="G19" s="28" t="s">
        <v>103</v>
      </c>
      <c r="H19" s="28" t="s">
        <v>104</v>
      </c>
      <c r="I19" s="28" t="s">
        <v>105</v>
      </c>
    </row>
    <row r="20" spans="1:9" ht="15">
      <c r="A20" s="28" t="s">
        <v>68</v>
      </c>
      <c r="B20" s="28" t="s">
        <v>106</v>
      </c>
      <c r="C20" s="28" t="s">
        <v>100</v>
      </c>
      <c r="D20" s="28" t="s">
        <v>71</v>
      </c>
      <c r="E20" s="28" t="s">
        <v>107</v>
      </c>
      <c r="F20" s="28" t="s">
        <v>108</v>
      </c>
      <c r="G20" s="28" t="s">
        <v>103</v>
      </c>
      <c r="H20" s="28" t="s">
        <v>109</v>
      </c>
      <c r="I20" s="28" t="s">
        <v>110</v>
      </c>
    </row>
    <row r="21" spans="1:9" ht="15">
      <c r="A21" s="28" t="s">
        <v>68</v>
      </c>
      <c r="B21" s="28" t="s">
        <v>111</v>
      </c>
      <c r="C21" s="28" t="s">
        <v>100</v>
      </c>
      <c r="D21" s="28" t="s">
        <v>71</v>
      </c>
      <c r="E21" s="28" t="s">
        <v>112</v>
      </c>
      <c r="F21" s="28" t="s">
        <v>88</v>
      </c>
      <c r="G21" s="28" t="s">
        <v>103</v>
      </c>
      <c r="H21" s="28" t="s">
        <v>113</v>
      </c>
      <c r="I21" s="28" t="s">
        <v>114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"/>
  <sheetViews>
    <sheetView workbookViewId="0" topLeftCell="A1">
      <selection pane="topLeft" activeCell="A1" sqref="A1:XFD1048576"/>
    </sheetView>
  </sheetViews>
  <sheetFormatPr defaultRowHeight="15"/>
  <cols>
    <col min="1" max="1025" width="8.5" customWidth="1"/>
  </cols>
  <sheetData/>
  <pageMargins left="0.7" right="0.7" top="0.75" bottom="0.75" header="0.511805555555555" footer="0.511805555555555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LibreOffice/6.0.7.3$Linux_X86_64 LibreOffice_project/00m0$Build-3</Application>
  <AppVersion>14.0300</AppVersion>
  <DocSecurity>0</DocSecurity>
  <Template/>
  <Manager/>
  <Company>Irish Life &amp; Permanent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WHELAN, EVELYN</dc:creator>
  <cp:keywords/>
  <dc:description/>
  <cp:lastModifiedBy/>
  <cp:lastPrinted>2018-06-07T10:55:32Z</cp:lastPrinted>
  <dcterms:created xsi:type="dcterms:W3CDTF">2015-04-16T10:43:28Z</dcterms:created>
  <dcterms:modified xsi:type="dcterms:W3CDTF">2021-01-18T15:57:36Z</dcterms:modified>
  <cp:category/>
  <cp:revision>1</cp:revision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Irish Life &amp; Permanent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